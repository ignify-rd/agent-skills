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test-genie\public\template\"/>
    </mc:Choice>
  </mc:AlternateContent>
  <xr:revisionPtr revIDLastSave="0" documentId="13_ncr:1_{3AC20DD6-6C0B-4B25-BE47-010F0C4A2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4" i="1" s="1"/>
  <c r="M6" i="1"/>
  <c r="M4" i="1" s="1"/>
  <c r="L6" i="1"/>
  <c r="L4" i="1" s="1"/>
  <c r="K6" i="1"/>
  <c r="J6" i="1"/>
  <c r="I6" i="1"/>
  <c r="G6" i="1"/>
  <c r="E6" i="1"/>
  <c r="D6" i="1"/>
  <c r="O6" i="1" s="1"/>
  <c r="C6" i="1"/>
  <c r="H6" i="1" s="1"/>
  <c r="O4" i="1" l="1"/>
</calcChain>
</file>

<file path=xl/sharedStrings.xml><?xml version="1.0" encoding="utf-8"?>
<sst xmlns="http://schemas.openxmlformats.org/spreadsheetml/2006/main" count="59" uniqueCount="58">
  <si>
    <t>KỊCH BẢN KIỂM THỬ *</t>
  </si>
  <si>
    <t>Tên màn hình/Tên chức năng</t>
  </si>
  <si>
    <t>Khởi tạo giao dịch bán</t>
  </si>
  <si>
    <t>HOME</t>
  </si>
  <si>
    <t>%Pass High</t>
  </si>
  <si>
    <t>% Pass Medium</t>
  </si>
  <si>
    <t>% Pass Low</t>
  </si>
  <si>
    <t xml:space="preserve">% Pass </t>
  </si>
  <si>
    <t>Môi trường /version</t>
  </si>
  <si>
    <t>Tổng số trường hợp kiểm thử</t>
  </si>
  <si>
    <t>Số trường hợp kiểm thử đạt (P)</t>
  </si>
  <si>
    <t>Số trường hợp kiểm thử không đạt (F)</t>
  </si>
  <si>
    <t>Số trường hợp kiểm thử exception (server)</t>
  </si>
  <si>
    <t>Số trường hợp kiểm thử đang xem xét (PE)</t>
  </si>
  <si>
    <t>Số trường hợp kiểm thử chưa thực hiện</t>
  </si>
  <si>
    <t>Tổng testcase High</t>
  </si>
  <si>
    <t>Tổng testcase Medium</t>
  </si>
  <si>
    <t>Tổng testcase Low</t>
  </si>
  <si>
    <t>Testcase Pass High</t>
  </si>
  <si>
    <t>Testcase Pass Medium</t>
  </si>
  <si>
    <t>Testcase Pass Low</t>
  </si>
  <si>
    <t>Tổng số case pass</t>
  </si>
  <si>
    <t>Chrome v21</t>
  </si>
  <si>
    <t>1. Name (khác trong Test suite) cần không trùng nhau trong 1 sheet, không quá 100 ký tự
2. Importance:1 (Low), 2 (Medium), 3 (High)
3. Testcase LV1/2/3 : text chính xác như theo testdessign
4. Chú ý không merger các ô ở testcase
5. Testcase nhập đầy đủ. chi tiết data test, không gộp case</t>
  </si>
  <si>
    <t xml:space="preserve"> </t>
  </si>
  <si>
    <t>Test Suite</t>
  </si>
  <si>
    <t>Test Case</t>
  </si>
  <si>
    <t>Attachments</t>
  </si>
  <si>
    <t>Steps</t>
  </si>
  <si>
    <t>Coverage</t>
  </si>
  <si>
    <t>Time Management</t>
  </si>
  <si>
    <t>Chrome</t>
  </si>
  <si>
    <t>Kết quả hiện tại (Chrome)</t>
  </si>
  <si>
    <t>Ghi chú</t>
  </si>
  <si>
    <t>Name</t>
  </si>
  <si>
    <t>Details</t>
  </si>
  <si>
    <t>Testcase LV1</t>
  </si>
  <si>
    <t>Testcase LV2</t>
  </si>
  <si>
    <t>Testcase LV3</t>
  </si>
  <si>
    <t>External ID</t>
  </si>
  <si>
    <t>Summary</t>
  </si>
  <si>
    <t>PreConditions</t>
  </si>
  <si>
    <t>Status</t>
  </si>
  <si>
    <t>ExecutionType</t>
  </si>
  <si>
    <t>Importance</t>
  </si>
  <si>
    <t>Keywords</t>
  </si>
  <si>
    <t>Number of Attachments</t>
  </si>
  <si>
    <t>Step</t>
  </si>
  <si>
    <t>Expected Result</t>
  </si>
  <si>
    <t>Actual Result</t>
  </si>
  <si>
    <t>StepExec
 Type</t>
  </si>
  <si>
    <t>Spec Title</t>
  </si>
  <si>
    <t>Document ID</t>
  </si>
  <si>
    <t>Estimated exec. Duration</t>
  </si>
  <si>
    <t>Lần 1</t>
  </si>
  <si>
    <t>Lần 2</t>
  </si>
  <si>
    <t>Lần 3</t>
  </si>
  <si>
    <t xml:space="preserve">Màn hình test: 
Link jra :
Link PTTK
Link RSD: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</si>
</sst>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ptos Narrow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theme="1"/>
      <name val="Arial"/>
    </font>
    <font>
      <sz val="10"/>
      <name val="Arial"/>
    </font>
    <font>
      <b/>
      <u/>
      <sz val="11"/>
      <color rgb="FF467886"/>
      <name val="Times New Roman"/>
    </font>
    <font>
      <b/>
      <sz val="11"/>
      <color rgb="FFFFFFFF"/>
      <name val="Times New Roman"/>
    </font>
    <font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66CC"/>
        <bgColor rgb="FF0066CC"/>
      </patternFill>
    </fill>
    <fill>
      <patternFill patternType="solid">
        <fgColor rgb="FFCCFFFF"/>
        <bgColor rgb="FFCCFFFF"/>
      </patternFill>
    </fill>
    <fill>
      <patternFill patternType="solid">
        <fgColor rgb="FFCCFF33"/>
        <bgColor rgb="FFCCFF33"/>
      </patternFill>
    </fill>
    <fill>
      <patternFill patternType="solid">
        <fgColor rgb="FFC0C0C0"/>
        <bgColor rgb="FFC0C0C0"/>
      </patternFill>
    </fill>
    <fill>
      <patternFill patternType="solid">
        <fgColor rgb="FFF79646"/>
        <bgColor rgb="FFF79646"/>
      </patternFill>
    </fill>
    <fill>
      <patternFill patternType="solid">
        <fgColor rgb="FF00CCFF"/>
        <bgColor rgb="FF00CCFF"/>
      </patternFill>
    </fill>
    <fill>
      <patternFill patternType="solid">
        <fgColor rgb="FFF4CCCC"/>
        <bgColor rgb="FFF4CCCC"/>
      </patternFill>
    </fill>
    <fill>
      <patternFill patternType="solid">
        <fgColor rgb="FF277E40"/>
        <bgColor rgb="FF277E4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3" fillId="2" borderId="2" xfId="0" applyFont="1" applyFill="1" applyBorder="1" applyAlignment="1">
      <alignment vertical="top" wrapText="1"/>
    </xf>
    <xf numFmtId="0" fontId="1" fillId="5" borderId="6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  <xf numFmtId="0" fontId="2" fillId="11" borderId="9" xfId="0" applyFont="1" applyFill="1" applyBorder="1" applyAlignment="1">
      <alignment horizontal="center" vertical="top"/>
    </xf>
    <xf numFmtId="0" fontId="2" fillId="5" borderId="10" xfId="0" applyFont="1" applyFill="1" applyBorder="1" applyAlignment="1">
      <alignment horizontal="center" vertical="top"/>
    </xf>
    <xf numFmtId="0" fontId="2" fillId="11" borderId="10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11" borderId="8" xfId="0" applyFont="1" applyFill="1" applyBorder="1" applyAlignment="1">
      <alignment vertical="center" wrapText="1"/>
    </xf>
    <xf numFmtId="0" fontId="5" fillId="0" borderId="11" xfId="0" applyFont="1" applyBorder="1"/>
    <xf numFmtId="0" fontId="2" fillId="10" borderId="8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top"/>
    </xf>
    <xf numFmtId="0" fontId="5" fillId="0" borderId="5" xfId="0" applyFont="1" applyBorder="1"/>
    <xf numFmtId="0" fontId="2" fillId="6" borderId="4" xfId="0" applyFont="1" applyFill="1" applyBorder="1" applyAlignment="1">
      <alignment horizontal="center" vertical="top"/>
    </xf>
    <xf numFmtId="0" fontId="5" fillId="0" borderId="7" xfId="0" applyFont="1" applyBorder="1"/>
    <xf numFmtId="0" fontId="2" fillId="3" borderId="4" xfId="0" applyFont="1" applyFill="1" applyBorder="1" applyAlignment="1">
      <alignment vertical="top" wrapText="1"/>
    </xf>
    <xf numFmtId="0" fontId="2" fillId="8" borderId="4" xfId="0" applyFont="1" applyFill="1" applyBorder="1" applyAlignment="1">
      <alignment vertical="top"/>
    </xf>
    <xf numFmtId="0" fontId="2" fillId="10" borderId="4" xfId="0" applyFont="1" applyFill="1" applyBorder="1" applyAlignment="1">
      <alignment vertical="top" wrapText="1"/>
    </xf>
    <xf numFmtId="0" fontId="7" fillId="12" borderId="12" xfId="0" applyFont="1" applyFill="1" applyBorder="1" applyAlignment="1">
      <alignment horizontal="left" vertical="top"/>
    </xf>
    <xf numFmtId="0" fontId="7" fillId="12" borderId="1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dv-vn.atlassian.net/wiki/spaces/IBANK2/pages/1020791088/Kho+d+li+u+kho+n+ph+i+thu+Focus+tab+B+ng+k+ch+x+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21" sqref="G21"/>
    </sheetView>
  </sheetViews>
  <sheetFormatPr defaultColWidth="12.5703125" defaultRowHeight="15" customHeight="1" x14ac:dyDescent="0.2"/>
  <cols>
    <col min="1" max="3" width="12.5703125" customWidth="1"/>
    <col min="4" max="4" width="16.5703125" customWidth="1"/>
    <col min="5" max="6" width="12.5703125" customWidth="1"/>
    <col min="7" max="7" width="18.140625" customWidth="1"/>
    <col min="8" max="8" width="19.5703125" customWidth="1"/>
    <col min="9" max="9" width="30.42578125" customWidth="1"/>
    <col min="10" max="10" width="6.42578125" customWidth="1"/>
    <col min="11" max="11" width="5.42578125" customWidth="1"/>
    <col min="13" max="13" width="6.7109375" customWidth="1"/>
    <col min="14" max="14" width="7" customWidth="1"/>
    <col min="15" max="15" width="23.7109375" customWidth="1"/>
    <col min="16" max="16" width="60.85546875" customWidth="1"/>
    <col min="18" max="24" width="12.5703125" hidden="1" customWidth="1"/>
  </cols>
  <sheetData>
    <row r="1" spans="1:26" ht="28.5" x14ac:dyDescent="0.2">
      <c r="A1" s="1"/>
      <c r="B1" s="1"/>
      <c r="C1" s="2"/>
      <c r="D1" s="3" t="s">
        <v>0</v>
      </c>
      <c r="E1" s="4"/>
      <c r="F1" s="4"/>
      <c r="G1" s="4"/>
      <c r="H1" s="4"/>
      <c r="I1" s="4"/>
      <c r="J1" s="4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5"/>
      <c r="Z1" s="6"/>
    </row>
    <row r="2" spans="1:26" ht="42.75" x14ac:dyDescent="0.2">
      <c r="A2" s="1"/>
      <c r="B2" s="1"/>
      <c r="C2" s="3" t="s">
        <v>1</v>
      </c>
      <c r="D2" s="7"/>
      <c r="E2" s="8"/>
      <c r="F2" s="4"/>
      <c r="G2" s="4"/>
      <c r="H2" s="4"/>
      <c r="I2" s="4"/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5"/>
      <c r="Z2" s="6"/>
    </row>
    <row r="3" spans="1:26" ht="57" x14ac:dyDescent="0.2">
      <c r="A3" s="1"/>
      <c r="B3" s="1"/>
      <c r="C3" s="3" t="s">
        <v>2</v>
      </c>
      <c r="D3" s="9" t="s">
        <v>3</v>
      </c>
      <c r="E3" s="4"/>
      <c r="F3" s="4"/>
      <c r="G3" s="4"/>
      <c r="H3" s="4"/>
      <c r="I3" s="4"/>
      <c r="J3" s="4"/>
      <c r="K3" s="4"/>
      <c r="L3" s="10" t="s">
        <v>4</v>
      </c>
      <c r="M3" s="11" t="s">
        <v>5</v>
      </c>
      <c r="N3" s="10" t="s">
        <v>6</v>
      </c>
      <c r="O3" s="10" t="s">
        <v>7</v>
      </c>
      <c r="P3" s="1"/>
      <c r="Q3" s="1"/>
      <c r="R3" s="1"/>
      <c r="S3" s="1"/>
      <c r="T3" s="1"/>
      <c r="U3" s="1"/>
      <c r="V3" s="1"/>
      <c r="W3" s="1"/>
      <c r="X3" s="1"/>
      <c r="Y3" s="5"/>
      <c r="Z3" s="6"/>
    </row>
    <row r="4" spans="1:26" x14ac:dyDescent="0.2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12" t="e">
        <f t="shared" ref="L4:N4" si="0">ROUNDUP(L6/I6*100,0)</f>
        <v>#DIV/0!</v>
      </c>
      <c r="M4" s="12" t="e">
        <f t="shared" si="0"/>
        <v>#DIV/0!</v>
      </c>
      <c r="N4" s="13" t="e">
        <f t="shared" si="0"/>
        <v>#DIV/0!</v>
      </c>
      <c r="O4" s="14" t="e">
        <f>ROUNDUP(O6/C6*100,0)</f>
        <v>#DIV/0!</v>
      </c>
      <c r="P4" s="1"/>
      <c r="Q4" s="1"/>
      <c r="R4" s="1"/>
      <c r="S4" s="1"/>
      <c r="T4" s="1"/>
      <c r="U4" s="1"/>
      <c r="V4" s="1"/>
      <c r="W4" s="1"/>
      <c r="X4" s="1"/>
      <c r="Y4" s="5"/>
      <c r="Z4" s="6"/>
    </row>
    <row r="5" spans="1:26" ht="71.25" x14ac:dyDescent="0.2">
      <c r="A5" s="1"/>
      <c r="B5" s="3" t="s">
        <v>8</v>
      </c>
      <c r="C5" s="3" t="s">
        <v>9</v>
      </c>
      <c r="D5" s="3" t="s">
        <v>10</v>
      </c>
      <c r="E5" s="3" t="s">
        <v>11</v>
      </c>
      <c r="F5" s="15" t="s">
        <v>12</v>
      </c>
      <c r="G5" s="15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15" t="s">
        <v>19</v>
      </c>
      <c r="N5" s="3" t="s">
        <v>20</v>
      </c>
      <c r="O5" s="3" t="s">
        <v>21</v>
      </c>
      <c r="P5" s="1"/>
      <c r="Q5" s="1"/>
      <c r="R5" s="1"/>
      <c r="S5" s="1"/>
      <c r="T5" s="1"/>
      <c r="U5" s="1"/>
      <c r="V5" s="1"/>
      <c r="W5" s="1"/>
      <c r="X5" s="1"/>
      <c r="Y5" s="5"/>
      <c r="Z5" s="6"/>
    </row>
    <row r="6" spans="1:26" x14ac:dyDescent="0.2">
      <c r="A6" s="1"/>
      <c r="B6" s="16" t="s">
        <v>22</v>
      </c>
      <c r="C6" s="17">
        <f>COUNTIF($F$18:$F$3055, "HOME_***")</f>
        <v>0</v>
      </c>
      <c r="D6" s="17">
        <f>COUNTIF($Y$18:$Y$3029,"Pass")</f>
        <v>0</v>
      </c>
      <c r="E6" s="17">
        <f>COUNTIF($Y$18:$Y$3029,"Fail")</f>
        <v>0</v>
      </c>
      <c r="F6" s="18"/>
      <c r="G6" s="18">
        <f>COUNTIF($Y$18:$Y$3029,"PENDING")</f>
        <v>0</v>
      </c>
      <c r="H6" s="17">
        <f>C6-D6-E6-G6</f>
        <v>0</v>
      </c>
      <c r="I6" s="17">
        <f>COUNTIF($L$18:$L885,"High")</f>
        <v>0</v>
      </c>
      <c r="J6" s="17">
        <f>COUNTIF($L$18:$L885,"Medium")</f>
        <v>0</v>
      </c>
      <c r="K6" s="17">
        <f>COUNTIF($L$18:$L885,"Low")</f>
        <v>0</v>
      </c>
      <c r="L6" s="19">
        <f>COUNTIFS(L18:L885,"High",Y18:Y885,"PASS")</f>
        <v>0</v>
      </c>
      <c r="M6" s="19">
        <f>COUNTIFS(L18:L885,"Medium",Y18:Y885,"PASS")</f>
        <v>0</v>
      </c>
      <c r="N6" s="19">
        <f>COUNTIFS(L18:L885,"Low",Y18:Y885,"PASS")</f>
        <v>0</v>
      </c>
      <c r="O6" s="20">
        <f>D6+F6</f>
        <v>0</v>
      </c>
      <c r="P6" s="1"/>
      <c r="Q6" s="1"/>
      <c r="R6" s="1"/>
      <c r="S6" s="1"/>
      <c r="T6" s="1"/>
      <c r="U6" s="1"/>
      <c r="V6" s="1"/>
      <c r="W6" s="1"/>
      <c r="X6" s="1"/>
      <c r="Y6" s="5"/>
      <c r="Z6" s="6"/>
    </row>
    <row r="7" spans="1:26" x14ac:dyDescent="0.2">
      <c r="A7" s="1"/>
      <c r="B7" s="16"/>
      <c r="C7" s="20"/>
      <c r="D7" s="20"/>
      <c r="E7" s="20"/>
      <c r="F7" s="21"/>
      <c r="G7" s="21"/>
      <c r="H7" s="20"/>
      <c r="I7" s="9"/>
      <c r="J7" s="9"/>
      <c r="K7" s="9"/>
      <c r="L7" s="20"/>
      <c r="M7" s="18"/>
      <c r="N7" s="20"/>
      <c r="O7" s="20"/>
      <c r="P7" s="1"/>
      <c r="Q7" s="1"/>
      <c r="R7" s="1"/>
      <c r="S7" s="1"/>
      <c r="T7" s="1"/>
      <c r="U7" s="1"/>
      <c r="V7" s="1"/>
      <c r="W7" s="1"/>
      <c r="X7" s="1"/>
      <c r="Y7" s="5"/>
      <c r="Z7" s="6"/>
    </row>
    <row r="8" spans="1:26" hidden="1" x14ac:dyDescent="0.2">
      <c r="A8" s="1"/>
      <c r="B8" s="1"/>
      <c r="C8" s="1"/>
      <c r="D8" s="1"/>
      <c r="E8" s="1"/>
      <c r="F8" s="1"/>
      <c r="G8" s="1"/>
      <c r="H8" s="4"/>
      <c r="I8" s="4"/>
      <c r="J8" s="4"/>
      <c r="K8" s="1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5"/>
      <c r="Z8" s="6"/>
    </row>
    <row r="9" spans="1:26" hidden="1" x14ac:dyDescent="0.2">
      <c r="A9" s="1"/>
      <c r="B9" s="1"/>
      <c r="C9" s="1"/>
      <c r="D9" s="1"/>
      <c r="E9" s="1"/>
      <c r="F9" s="1"/>
      <c r="G9" s="1"/>
      <c r="H9" s="4"/>
      <c r="I9" s="4"/>
      <c r="J9" s="4"/>
      <c r="K9" s="1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5"/>
      <c r="Z9" s="6"/>
    </row>
    <row r="10" spans="1:26" hidden="1" x14ac:dyDescent="0.2">
      <c r="A10" s="1"/>
      <c r="B10" s="1"/>
      <c r="C10" s="1"/>
      <c r="D10" s="1"/>
      <c r="E10" s="1"/>
      <c r="F10" s="1"/>
      <c r="G10" s="1"/>
      <c r="H10" s="4"/>
      <c r="I10" s="4"/>
      <c r="J10" s="4"/>
      <c r="K10" s="1"/>
      <c r="L10" s="4"/>
      <c r="M10" s="1"/>
      <c r="N10" s="1"/>
      <c r="O10" s="4"/>
      <c r="P10" s="4"/>
      <c r="Q10" s="4"/>
      <c r="R10" s="4"/>
      <c r="S10" s="4"/>
      <c r="T10" s="4"/>
      <c r="U10" s="4"/>
      <c r="V10" s="4"/>
      <c r="W10" s="1"/>
      <c r="X10" s="1"/>
      <c r="Y10" s="5"/>
      <c r="Z10" s="6"/>
    </row>
    <row r="11" spans="1:26" hidden="1" x14ac:dyDescent="0.2">
      <c r="A11" s="1"/>
      <c r="B11" s="1"/>
      <c r="C11" s="1"/>
      <c r="D11" s="1"/>
      <c r="E11" s="1"/>
      <c r="F11" s="1"/>
      <c r="G11" s="1"/>
      <c r="H11" s="4"/>
      <c r="I11" s="4"/>
      <c r="J11" s="4"/>
      <c r="K11" s="1"/>
      <c r="L11" s="4"/>
      <c r="M11" s="1"/>
      <c r="N11" s="1"/>
      <c r="O11" s="4"/>
      <c r="P11" s="4"/>
      <c r="Q11" s="4"/>
      <c r="R11" s="4"/>
      <c r="S11" s="4"/>
      <c r="T11" s="4"/>
      <c r="U11" s="4"/>
      <c r="V11" s="4"/>
      <c r="W11" s="1"/>
      <c r="X11" s="1"/>
      <c r="Y11" s="5"/>
      <c r="Z11" s="6"/>
    </row>
    <row r="12" spans="1:26" hidden="1" x14ac:dyDescent="0.2">
      <c r="A12" s="1"/>
      <c r="B12" s="1"/>
      <c r="C12" s="1"/>
      <c r="D12" s="1"/>
      <c r="E12" s="1"/>
      <c r="F12" s="1"/>
      <c r="G12" s="1"/>
      <c r="H12" s="4"/>
      <c r="I12" s="4"/>
      <c r="J12" s="4"/>
      <c r="K12" s="1"/>
      <c r="L12" s="4"/>
      <c r="M12" s="1"/>
      <c r="N12" s="1"/>
      <c r="O12" s="4"/>
      <c r="P12" s="4"/>
      <c r="Q12" s="4"/>
      <c r="R12" s="4"/>
      <c r="S12" s="4"/>
      <c r="T12" s="4"/>
      <c r="U12" s="4"/>
      <c r="V12" s="4"/>
      <c r="W12" s="1"/>
      <c r="X12" s="1"/>
      <c r="Y12" s="5"/>
      <c r="Z12" s="6"/>
    </row>
    <row r="13" spans="1:26" hidden="1" x14ac:dyDescent="0.2">
      <c r="A13" s="22" t="s">
        <v>23</v>
      </c>
      <c r="B13" s="1"/>
      <c r="C13" s="1"/>
      <c r="D13" s="1"/>
      <c r="E13" s="1"/>
      <c r="F13" s="1"/>
      <c r="G13" s="1"/>
      <c r="H13" s="4"/>
      <c r="I13" s="1"/>
      <c r="J13" s="1"/>
      <c r="K13" s="1"/>
      <c r="L13" s="1"/>
      <c r="M13" s="1"/>
      <c r="N13" s="1"/>
      <c r="O13" s="4"/>
      <c r="P13" s="4"/>
      <c r="Q13" s="23" t="s">
        <v>24</v>
      </c>
      <c r="R13" s="4"/>
      <c r="S13" s="4"/>
      <c r="T13" s="4"/>
      <c r="U13" s="4"/>
      <c r="V13" s="4"/>
      <c r="W13" s="1"/>
      <c r="X13" s="1"/>
      <c r="Y13" s="5"/>
      <c r="Z13" s="6"/>
    </row>
    <row r="14" spans="1:26" hidden="1" x14ac:dyDescent="0.2">
      <c r="A14" s="1"/>
      <c r="B14" s="1"/>
      <c r="C14" s="1"/>
      <c r="D14" s="1"/>
      <c r="E14" s="1"/>
      <c r="F14" s="1"/>
      <c r="G14" s="1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5"/>
      <c r="Z14" s="6"/>
    </row>
    <row r="15" spans="1:26" x14ac:dyDescent="0.2">
      <c r="A15" s="47" t="s">
        <v>25</v>
      </c>
      <c r="B15" s="48"/>
      <c r="C15" s="24"/>
      <c r="D15" s="24"/>
      <c r="E15" s="24"/>
      <c r="F15" s="49" t="s">
        <v>26</v>
      </c>
      <c r="G15" s="50"/>
      <c r="H15" s="50"/>
      <c r="I15" s="50"/>
      <c r="J15" s="50"/>
      <c r="K15" s="50"/>
      <c r="L15" s="50"/>
      <c r="M15" s="48"/>
      <c r="N15" s="25" t="s">
        <v>27</v>
      </c>
      <c r="O15" s="51" t="s">
        <v>28</v>
      </c>
      <c r="P15" s="50"/>
      <c r="Q15" s="50"/>
      <c r="R15" s="48"/>
      <c r="S15" s="52" t="s">
        <v>29</v>
      </c>
      <c r="T15" s="48"/>
      <c r="U15" s="26" t="s">
        <v>30</v>
      </c>
      <c r="V15" s="53" t="s">
        <v>31</v>
      </c>
      <c r="W15" s="50"/>
      <c r="X15" s="48"/>
      <c r="Y15" s="44" t="s">
        <v>32</v>
      </c>
      <c r="Z15" s="46" t="s">
        <v>33</v>
      </c>
    </row>
    <row r="16" spans="1:26" ht="28.5" x14ac:dyDescent="0.2">
      <c r="A16" s="27" t="s">
        <v>34</v>
      </c>
      <c r="B16" s="28" t="s">
        <v>35</v>
      </c>
      <c r="C16" s="29" t="s">
        <v>36</v>
      </c>
      <c r="D16" s="29" t="s">
        <v>37</v>
      </c>
      <c r="E16" s="29" t="s">
        <v>38</v>
      </c>
      <c r="F16" s="30" t="s">
        <v>39</v>
      </c>
      <c r="G16" s="31" t="s">
        <v>34</v>
      </c>
      <c r="H16" s="31" t="s">
        <v>40</v>
      </c>
      <c r="I16" s="31" t="s">
        <v>41</v>
      </c>
      <c r="J16" s="30" t="s">
        <v>42</v>
      </c>
      <c r="K16" s="30" t="s">
        <v>43</v>
      </c>
      <c r="L16" s="31" t="s">
        <v>44</v>
      </c>
      <c r="M16" s="30" t="s">
        <v>45</v>
      </c>
      <c r="N16" s="32" t="s">
        <v>46</v>
      </c>
      <c r="O16" s="33" t="s">
        <v>47</v>
      </c>
      <c r="P16" s="33" t="s">
        <v>48</v>
      </c>
      <c r="Q16" s="33" t="s">
        <v>49</v>
      </c>
      <c r="R16" s="34" t="s">
        <v>50</v>
      </c>
      <c r="S16" s="35" t="s">
        <v>51</v>
      </c>
      <c r="T16" s="35" t="s">
        <v>52</v>
      </c>
      <c r="U16" s="36" t="s">
        <v>53</v>
      </c>
      <c r="V16" s="37" t="s">
        <v>54</v>
      </c>
      <c r="W16" s="37" t="s">
        <v>55</v>
      </c>
      <c r="X16" s="37" t="s">
        <v>56</v>
      </c>
      <c r="Y16" s="45"/>
      <c r="Z16" s="45"/>
    </row>
    <row r="17" spans="1:26" ht="71.25" x14ac:dyDescent="0.2">
      <c r="A17" s="38" t="s">
        <v>57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1"/>
    </row>
    <row r="18" spans="1:26" ht="15" customHeight="1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5"/>
    </row>
    <row r="19" spans="1:26" ht="12.75" x14ac:dyDescent="0.2">
      <c r="Y19" s="42"/>
      <c r="Z19" s="43"/>
    </row>
    <row r="20" spans="1:26" ht="12.75" x14ac:dyDescent="0.2">
      <c r="Y20" s="42"/>
      <c r="Z20" s="43"/>
    </row>
    <row r="21" spans="1:26" ht="15.75" customHeight="1" x14ac:dyDescent="0.2">
      <c r="Y21" s="42"/>
      <c r="Z21" s="43"/>
    </row>
    <row r="22" spans="1:26" ht="15.75" customHeight="1" x14ac:dyDescent="0.2">
      <c r="Y22" s="42"/>
      <c r="Z22" s="43"/>
    </row>
    <row r="23" spans="1:26" ht="15.75" customHeight="1" x14ac:dyDescent="0.2">
      <c r="Y23" s="42"/>
      <c r="Z23" s="43"/>
    </row>
    <row r="24" spans="1:26" ht="15.75" customHeight="1" x14ac:dyDescent="0.2">
      <c r="Y24" s="42"/>
      <c r="Z24" s="43"/>
    </row>
    <row r="25" spans="1:26" ht="15.75" customHeight="1" x14ac:dyDescent="0.2">
      <c r="Y25" s="42"/>
      <c r="Z25" s="43"/>
    </row>
    <row r="26" spans="1:26" ht="15.75" customHeight="1" x14ac:dyDescent="0.2">
      <c r="Y26" s="42"/>
      <c r="Z26" s="43"/>
    </row>
    <row r="27" spans="1:26" ht="15.75" customHeight="1" x14ac:dyDescent="0.2">
      <c r="Y27" s="42"/>
      <c r="Z27" s="43"/>
    </row>
    <row r="28" spans="1:26" ht="15.75" customHeight="1" x14ac:dyDescent="0.2">
      <c r="Y28" s="42"/>
      <c r="Z28" s="43"/>
    </row>
    <row r="29" spans="1:26" ht="15.75" customHeight="1" x14ac:dyDescent="0.2">
      <c r="Y29" s="42"/>
      <c r="Z29" s="43"/>
    </row>
    <row r="30" spans="1:26" ht="15.75" customHeight="1" x14ac:dyDescent="0.2">
      <c r="Y30" s="42"/>
      <c r="Z30" s="43"/>
    </row>
    <row r="31" spans="1:26" ht="15.75" customHeight="1" x14ac:dyDescent="0.2">
      <c r="Y31" s="42"/>
      <c r="Z31" s="43"/>
    </row>
    <row r="32" spans="1:26" ht="15.75" customHeight="1" x14ac:dyDescent="0.2">
      <c r="Y32" s="42"/>
      <c r="Z32" s="43"/>
    </row>
    <row r="33" spans="25:26" ht="15.75" customHeight="1" x14ac:dyDescent="0.2">
      <c r="Y33" s="42"/>
      <c r="Z33" s="43"/>
    </row>
    <row r="34" spans="25:26" ht="15.75" customHeight="1" x14ac:dyDescent="0.2">
      <c r="Y34" s="42"/>
      <c r="Z34" s="43"/>
    </row>
    <row r="35" spans="25:26" ht="15.75" customHeight="1" x14ac:dyDescent="0.2">
      <c r="Y35" s="42"/>
      <c r="Z35" s="43"/>
    </row>
    <row r="36" spans="25:26" ht="15.75" customHeight="1" x14ac:dyDescent="0.2">
      <c r="Y36" s="42"/>
      <c r="Z36" s="43"/>
    </row>
    <row r="37" spans="25:26" ht="15.75" customHeight="1" x14ac:dyDescent="0.2">
      <c r="Y37" s="42"/>
      <c r="Z37" s="43"/>
    </row>
    <row r="38" spans="25:26" ht="15.75" customHeight="1" x14ac:dyDescent="0.2">
      <c r="Y38" s="42"/>
      <c r="Z38" s="43"/>
    </row>
    <row r="39" spans="25:26" ht="15.75" customHeight="1" x14ac:dyDescent="0.2">
      <c r="Y39" s="42"/>
      <c r="Z39" s="43"/>
    </row>
    <row r="40" spans="25:26" ht="15.75" customHeight="1" x14ac:dyDescent="0.2">
      <c r="Y40" s="42"/>
      <c r="Z40" s="43"/>
    </row>
    <row r="41" spans="25:26" ht="15.75" customHeight="1" x14ac:dyDescent="0.2">
      <c r="Y41" s="42"/>
      <c r="Z41" s="43"/>
    </row>
    <row r="42" spans="25:26" ht="15.75" customHeight="1" x14ac:dyDescent="0.2">
      <c r="Y42" s="42"/>
      <c r="Z42" s="43"/>
    </row>
    <row r="43" spans="25:26" ht="15.75" customHeight="1" x14ac:dyDescent="0.2">
      <c r="Y43" s="42"/>
      <c r="Z43" s="43"/>
    </row>
    <row r="44" spans="25:26" ht="15.75" customHeight="1" x14ac:dyDescent="0.2">
      <c r="Y44" s="42"/>
      <c r="Z44" s="43"/>
    </row>
    <row r="45" spans="25:26" ht="15.75" customHeight="1" x14ac:dyDescent="0.2">
      <c r="Y45" s="42"/>
      <c r="Z45" s="43"/>
    </row>
    <row r="46" spans="25:26" ht="15.75" customHeight="1" x14ac:dyDescent="0.2">
      <c r="Y46" s="42"/>
      <c r="Z46" s="43"/>
    </row>
    <row r="47" spans="25:26" ht="15.75" customHeight="1" x14ac:dyDescent="0.2">
      <c r="Y47" s="42"/>
      <c r="Z47" s="43"/>
    </row>
    <row r="48" spans="25:26" ht="15.75" customHeight="1" x14ac:dyDescent="0.2">
      <c r="Y48" s="42"/>
      <c r="Z48" s="43"/>
    </row>
    <row r="49" spans="25:26" ht="15.75" customHeight="1" x14ac:dyDescent="0.2">
      <c r="Y49" s="42"/>
      <c r="Z49" s="43"/>
    </row>
    <row r="50" spans="25:26" ht="15.75" customHeight="1" x14ac:dyDescent="0.2">
      <c r="Y50" s="42"/>
      <c r="Z50" s="43"/>
    </row>
    <row r="51" spans="25:26" ht="15.75" customHeight="1" x14ac:dyDescent="0.2">
      <c r="Y51" s="42"/>
      <c r="Z51" s="43"/>
    </row>
    <row r="52" spans="25:26" ht="15.75" customHeight="1" x14ac:dyDescent="0.2">
      <c r="Y52" s="42"/>
      <c r="Z52" s="43"/>
    </row>
    <row r="53" spans="25:26" ht="15.75" customHeight="1" x14ac:dyDescent="0.2">
      <c r="Y53" s="42"/>
      <c r="Z53" s="43"/>
    </row>
    <row r="54" spans="25:26" ht="15.75" customHeight="1" x14ac:dyDescent="0.2">
      <c r="Y54" s="42"/>
      <c r="Z54" s="43"/>
    </row>
    <row r="55" spans="25:26" ht="15.75" customHeight="1" x14ac:dyDescent="0.2">
      <c r="Y55" s="42"/>
      <c r="Z55" s="43"/>
    </row>
    <row r="56" spans="25:26" ht="15.75" customHeight="1" x14ac:dyDescent="0.2">
      <c r="Y56" s="42"/>
      <c r="Z56" s="43"/>
    </row>
    <row r="57" spans="25:26" ht="15.75" customHeight="1" x14ac:dyDescent="0.2">
      <c r="Y57" s="42"/>
      <c r="Z57" s="43"/>
    </row>
    <row r="58" spans="25:26" ht="15.75" customHeight="1" x14ac:dyDescent="0.2">
      <c r="Y58" s="42"/>
      <c r="Z58" s="43"/>
    </row>
    <row r="59" spans="25:26" ht="15.75" customHeight="1" x14ac:dyDescent="0.2">
      <c r="Y59" s="42"/>
      <c r="Z59" s="43"/>
    </row>
    <row r="60" spans="25:26" ht="15.75" customHeight="1" x14ac:dyDescent="0.2">
      <c r="Y60" s="42"/>
      <c r="Z60" s="43"/>
    </row>
    <row r="61" spans="25:26" ht="15.75" customHeight="1" x14ac:dyDescent="0.2">
      <c r="Y61" s="42"/>
      <c r="Z61" s="43"/>
    </row>
    <row r="62" spans="25:26" ht="15.75" customHeight="1" x14ac:dyDescent="0.2">
      <c r="Y62" s="42"/>
      <c r="Z62" s="43"/>
    </row>
    <row r="63" spans="25:26" ht="15.75" customHeight="1" x14ac:dyDescent="0.2">
      <c r="Y63" s="42"/>
      <c r="Z63" s="43"/>
    </row>
    <row r="64" spans="25:26" ht="15.75" customHeight="1" x14ac:dyDescent="0.2">
      <c r="Y64" s="42"/>
      <c r="Z64" s="43"/>
    </row>
    <row r="65" spans="25:26" ht="15.75" customHeight="1" x14ac:dyDescent="0.2">
      <c r="Y65" s="42"/>
      <c r="Z65" s="43"/>
    </row>
    <row r="66" spans="25:26" ht="15.75" customHeight="1" x14ac:dyDescent="0.2">
      <c r="Y66" s="42"/>
      <c r="Z66" s="43"/>
    </row>
    <row r="67" spans="25:26" ht="15.75" customHeight="1" x14ac:dyDescent="0.2">
      <c r="Y67" s="42"/>
      <c r="Z67" s="43"/>
    </row>
    <row r="68" spans="25:26" ht="15.75" customHeight="1" x14ac:dyDescent="0.2">
      <c r="Y68" s="42"/>
      <c r="Z68" s="43"/>
    </row>
    <row r="69" spans="25:26" ht="15.75" customHeight="1" x14ac:dyDescent="0.2">
      <c r="Y69" s="42"/>
      <c r="Z69" s="43"/>
    </row>
    <row r="70" spans="25:26" ht="15.75" customHeight="1" x14ac:dyDescent="0.2">
      <c r="Y70" s="42"/>
      <c r="Z70" s="43"/>
    </row>
    <row r="71" spans="25:26" ht="15.75" customHeight="1" x14ac:dyDescent="0.2">
      <c r="Y71" s="42"/>
      <c r="Z71" s="43"/>
    </row>
    <row r="72" spans="25:26" ht="15.75" customHeight="1" x14ac:dyDescent="0.2">
      <c r="Y72" s="42"/>
      <c r="Z72" s="43"/>
    </row>
    <row r="73" spans="25:26" ht="15.75" customHeight="1" x14ac:dyDescent="0.2">
      <c r="Y73" s="42"/>
      <c r="Z73" s="43"/>
    </row>
    <row r="74" spans="25:26" ht="15.75" customHeight="1" x14ac:dyDescent="0.2">
      <c r="Y74" s="42"/>
      <c r="Z74" s="43"/>
    </row>
    <row r="75" spans="25:26" ht="15.75" customHeight="1" x14ac:dyDescent="0.2">
      <c r="Y75" s="42"/>
      <c r="Z75" s="43"/>
    </row>
    <row r="76" spans="25:26" ht="15.75" customHeight="1" x14ac:dyDescent="0.2">
      <c r="Y76" s="42"/>
      <c r="Z76" s="43"/>
    </row>
    <row r="77" spans="25:26" ht="15.75" customHeight="1" x14ac:dyDescent="0.2">
      <c r="Y77" s="42"/>
      <c r="Z77" s="43"/>
    </row>
    <row r="78" spans="25:26" ht="15.75" customHeight="1" x14ac:dyDescent="0.2">
      <c r="Y78" s="42"/>
      <c r="Z78" s="43"/>
    </row>
    <row r="79" spans="25:26" ht="15.75" customHeight="1" x14ac:dyDescent="0.2">
      <c r="Y79" s="42"/>
      <c r="Z79" s="43"/>
    </row>
    <row r="80" spans="25:26" ht="15.75" customHeight="1" x14ac:dyDescent="0.2">
      <c r="Y80" s="42"/>
      <c r="Z80" s="43"/>
    </row>
    <row r="81" spans="25:26" ht="15.75" customHeight="1" x14ac:dyDescent="0.2">
      <c r="Y81" s="42"/>
      <c r="Z81" s="43"/>
    </row>
    <row r="82" spans="25:26" ht="15.75" customHeight="1" x14ac:dyDescent="0.2">
      <c r="Y82" s="42"/>
      <c r="Z82" s="43"/>
    </row>
    <row r="83" spans="25:26" ht="15.75" customHeight="1" x14ac:dyDescent="0.2">
      <c r="Y83" s="42"/>
      <c r="Z83" s="43"/>
    </row>
    <row r="84" spans="25:26" ht="15.75" customHeight="1" x14ac:dyDescent="0.2">
      <c r="Y84" s="42"/>
      <c r="Z84" s="43"/>
    </row>
    <row r="85" spans="25:26" ht="15.75" customHeight="1" x14ac:dyDescent="0.2">
      <c r="Y85" s="42"/>
      <c r="Z85" s="43"/>
    </row>
    <row r="86" spans="25:26" ht="15.75" customHeight="1" x14ac:dyDescent="0.2">
      <c r="Y86" s="42"/>
      <c r="Z86" s="43"/>
    </row>
    <row r="87" spans="25:26" ht="15.75" customHeight="1" x14ac:dyDescent="0.2">
      <c r="Y87" s="42"/>
      <c r="Z87" s="43"/>
    </row>
    <row r="88" spans="25:26" ht="15.75" customHeight="1" x14ac:dyDescent="0.2">
      <c r="Y88" s="42"/>
      <c r="Z88" s="43"/>
    </row>
    <row r="89" spans="25:26" ht="15.75" customHeight="1" x14ac:dyDescent="0.2">
      <c r="Y89" s="42"/>
      <c r="Z89" s="43"/>
    </row>
    <row r="90" spans="25:26" ht="15.75" customHeight="1" x14ac:dyDescent="0.2">
      <c r="Y90" s="42"/>
      <c r="Z90" s="43"/>
    </row>
    <row r="91" spans="25:26" ht="15.75" customHeight="1" x14ac:dyDescent="0.2">
      <c r="Y91" s="42"/>
      <c r="Z91" s="43"/>
    </row>
    <row r="92" spans="25:26" ht="15.75" customHeight="1" x14ac:dyDescent="0.2">
      <c r="Y92" s="42"/>
      <c r="Z92" s="43"/>
    </row>
    <row r="93" spans="25:26" ht="15.75" customHeight="1" x14ac:dyDescent="0.2">
      <c r="Y93" s="42"/>
      <c r="Z93" s="43"/>
    </row>
    <row r="94" spans="25:26" ht="15.75" customHeight="1" x14ac:dyDescent="0.2">
      <c r="Y94" s="42"/>
      <c r="Z94" s="43"/>
    </row>
    <row r="95" spans="25:26" ht="15.75" customHeight="1" x14ac:dyDescent="0.2">
      <c r="Y95" s="42"/>
      <c r="Z95" s="43"/>
    </row>
    <row r="96" spans="25:26" ht="15.75" customHeight="1" x14ac:dyDescent="0.2">
      <c r="Y96" s="42"/>
      <c r="Z96" s="43"/>
    </row>
    <row r="97" spans="25:26" ht="15.75" customHeight="1" x14ac:dyDescent="0.2">
      <c r="Y97" s="42"/>
      <c r="Z97" s="43"/>
    </row>
    <row r="98" spans="25:26" ht="15.75" customHeight="1" x14ac:dyDescent="0.2">
      <c r="Y98" s="42"/>
      <c r="Z98" s="43"/>
    </row>
    <row r="99" spans="25:26" ht="15.75" customHeight="1" x14ac:dyDescent="0.2">
      <c r="Y99" s="42"/>
      <c r="Z99" s="43"/>
    </row>
    <row r="100" spans="25:26" ht="15.75" customHeight="1" x14ac:dyDescent="0.2">
      <c r="Y100" s="42"/>
      <c r="Z100" s="43"/>
    </row>
    <row r="101" spans="25:26" ht="15.75" customHeight="1" x14ac:dyDescent="0.2">
      <c r="Y101" s="42"/>
      <c r="Z101" s="43"/>
    </row>
    <row r="102" spans="25:26" ht="15.75" customHeight="1" x14ac:dyDescent="0.2">
      <c r="Y102" s="42"/>
      <c r="Z102" s="43"/>
    </row>
    <row r="103" spans="25:26" ht="15.75" customHeight="1" x14ac:dyDescent="0.2">
      <c r="Y103" s="42"/>
      <c r="Z103" s="43"/>
    </row>
    <row r="104" spans="25:26" ht="15.75" customHeight="1" x14ac:dyDescent="0.2">
      <c r="Y104" s="42"/>
      <c r="Z104" s="43"/>
    </row>
    <row r="105" spans="25:26" ht="15.75" customHeight="1" x14ac:dyDescent="0.2">
      <c r="Y105" s="42"/>
      <c r="Z105" s="43"/>
    </row>
    <row r="106" spans="25:26" ht="15.75" customHeight="1" x14ac:dyDescent="0.2">
      <c r="Y106" s="42"/>
      <c r="Z106" s="43"/>
    </row>
    <row r="107" spans="25:26" ht="15.75" customHeight="1" x14ac:dyDescent="0.2">
      <c r="Y107" s="42"/>
      <c r="Z107" s="43"/>
    </row>
    <row r="108" spans="25:26" ht="15.75" customHeight="1" x14ac:dyDescent="0.2">
      <c r="Y108" s="42"/>
      <c r="Z108" s="43"/>
    </row>
    <row r="109" spans="25:26" ht="15.75" customHeight="1" x14ac:dyDescent="0.2">
      <c r="Y109" s="42"/>
      <c r="Z109" s="43"/>
    </row>
    <row r="110" spans="25:26" ht="15.75" customHeight="1" x14ac:dyDescent="0.2">
      <c r="Y110" s="42"/>
      <c r="Z110" s="43"/>
    </row>
    <row r="111" spans="25:26" ht="15.75" customHeight="1" x14ac:dyDescent="0.2">
      <c r="Y111" s="42"/>
      <c r="Z111" s="43"/>
    </row>
    <row r="112" spans="25:26" ht="15.75" customHeight="1" x14ac:dyDescent="0.2">
      <c r="Y112" s="42"/>
      <c r="Z112" s="43"/>
    </row>
    <row r="113" spans="25:26" ht="15.75" customHeight="1" x14ac:dyDescent="0.2">
      <c r="Y113" s="42"/>
      <c r="Z113" s="43"/>
    </row>
    <row r="114" spans="25:26" ht="15.75" customHeight="1" x14ac:dyDescent="0.2">
      <c r="Y114" s="42"/>
      <c r="Z114" s="43"/>
    </row>
    <row r="115" spans="25:26" ht="15.75" customHeight="1" x14ac:dyDescent="0.2">
      <c r="Y115" s="42"/>
      <c r="Z115" s="43"/>
    </row>
    <row r="116" spans="25:26" ht="15.75" customHeight="1" x14ac:dyDescent="0.2">
      <c r="Y116" s="42"/>
      <c r="Z116" s="43"/>
    </row>
    <row r="117" spans="25:26" ht="15.75" customHeight="1" x14ac:dyDescent="0.2">
      <c r="Y117" s="42"/>
      <c r="Z117" s="43"/>
    </row>
    <row r="118" spans="25:26" ht="15.75" customHeight="1" x14ac:dyDescent="0.2">
      <c r="Y118" s="42"/>
      <c r="Z118" s="43"/>
    </row>
    <row r="119" spans="25:26" ht="15.75" customHeight="1" x14ac:dyDescent="0.2">
      <c r="Y119" s="42"/>
      <c r="Z119" s="43"/>
    </row>
    <row r="120" spans="25:26" ht="15.75" customHeight="1" x14ac:dyDescent="0.2">
      <c r="Y120" s="42"/>
      <c r="Z120" s="43"/>
    </row>
    <row r="121" spans="25:26" ht="15.75" customHeight="1" x14ac:dyDescent="0.2">
      <c r="Y121" s="42"/>
      <c r="Z121" s="43"/>
    </row>
    <row r="122" spans="25:26" ht="15.75" customHeight="1" x14ac:dyDescent="0.2">
      <c r="Y122" s="42"/>
      <c r="Z122" s="43"/>
    </row>
    <row r="123" spans="25:26" ht="15.75" customHeight="1" x14ac:dyDescent="0.2">
      <c r="Y123" s="42"/>
      <c r="Z123" s="43"/>
    </row>
    <row r="124" spans="25:26" ht="15.75" customHeight="1" x14ac:dyDescent="0.2">
      <c r="Y124" s="42"/>
      <c r="Z124" s="43"/>
    </row>
    <row r="125" spans="25:26" ht="15.75" customHeight="1" x14ac:dyDescent="0.2">
      <c r="Y125" s="42"/>
      <c r="Z125" s="43"/>
    </row>
    <row r="126" spans="25:26" ht="15.75" customHeight="1" x14ac:dyDescent="0.2">
      <c r="Y126" s="42"/>
      <c r="Z126" s="43"/>
    </row>
    <row r="127" spans="25:26" ht="15.75" customHeight="1" x14ac:dyDescent="0.2">
      <c r="Y127" s="42"/>
      <c r="Z127" s="43"/>
    </row>
    <row r="128" spans="25:26" ht="15.75" customHeight="1" x14ac:dyDescent="0.2">
      <c r="Y128" s="42"/>
      <c r="Z128" s="43"/>
    </row>
    <row r="129" spans="25:26" ht="15.75" customHeight="1" x14ac:dyDescent="0.2">
      <c r="Y129" s="42"/>
      <c r="Z129" s="43"/>
    </row>
    <row r="130" spans="25:26" ht="15.75" customHeight="1" x14ac:dyDescent="0.2">
      <c r="Y130" s="42"/>
      <c r="Z130" s="43"/>
    </row>
    <row r="131" spans="25:26" ht="15.75" customHeight="1" x14ac:dyDescent="0.2">
      <c r="Y131" s="42"/>
      <c r="Z131" s="43"/>
    </row>
    <row r="132" spans="25:26" ht="15.75" customHeight="1" x14ac:dyDescent="0.2">
      <c r="Y132" s="42"/>
      <c r="Z132" s="43"/>
    </row>
    <row r="133" spans="25:26" ht="15.75" customHeight="1" x14ac:dyDescent="0.2">
      <c r="Y133" s="42"/>
      <c r="Z133" s="43"/>
    </row>
    <row r="134" spans="25:26" ht="15.75" customHeight="1" x14ac:dyDescent="0.2">
      <c r="Y134" s="42"/>
      <c r="Z134" s="43"/>
    </row>
    <row r="135" spans="25:26" ht="15.75" customHeight="1" x14ac:dyDescent="0.2">
      <c r="Y135" s="42"/>
      <c r="Z135" s="43"/>
    </row>
    <row r="136" spans="25:26" ht="15.75" customHeight="1" x14ac:dyDescent="0.2">
      <c r="Y136" s="42"/>
      <c r="Z136" s="43"/>
    </row>
    <row r="137" spans="25:26" ht="15.75" customHeight="1" x14ac:dyDescent="0.2">
      <c r="Y137" s="42"/>
      <c r="Z137" s="43"/>
    </row>
    <row r="138" spans="25:26" ht="15.75" customHeight="1" x14ac:dyDescent="0.2">
      <c r="Y138" s="42"/>
      <c r="Z138" s="43"/>
    </row>
    <row r="139" spans="25:26" ht="15.75" customHeight="1" x14ac:dyDescent="0.2">
      <c r="Y139" s="42"/>
      <c r="Z139" s="43"/>
    </row>
    <row r="140" spans="25:26" ht="15.75" customHeight="1" x14ac:dyDescent="0.2">
      <c r="Y140" s="42"/>
      <c r="Z140" s="43"/>
    </row>
    <row r="141" spans="25:26" ht="15.75" customHeight="1" x14ac:dyDescent="0.2">
      <c r="Y141" s="42"/>
      <c r="Z141" s="43"/>
    </row>
    <row r="142" spans="25:26" ht="15.75" customHeight="1" x14ac:dyDescent="0.2">
      <c r="Y142" s="42"/>
      <c r="Z142" s="43"/>
    </row>
    <row r="143" spans="25:26" ht="15.75" customHeight="1" x14ac:dyDescent="0.2">
      <c r="Y143" s="42"/>
      <c r="Z143" s="43"/>
    </row>
    <row r="144" spans="25:26" ht="15.75" customHeight="1" x14ac:dyDescent="0.2">
      <c r="Y144" s="42"/>
      <c r="Z144" s="43"/>
    </row>
    <row r="145" spans="25:26" ht="15.75" customHeight="1" x14ac:dyDescent="0.2">
      <c r="Y145" s="42"/>
      <c r="Z145" s="43"/>
    </row>
    <row r="146" spans="25:26" ht="15.75" customHeight="1" x14ac:dyDescent="0.2">
      <c r="Y146" s="42"/>
      <c r="Z146" s="43"/>
    </row>
    <row r="147" spans="25:26" ht="15.75" customHeight="1" x14ac:dyDescent="0.2">
      <c r="Y147" s="42"/>
      <c r="Z147" s="43"/>
    </row>
    <row r="148" spans="25:26" ht="15.75" customHeight="1" x14ac:dyDescent="0.2">
      <c r="Y148" s="42"/>
      <c r="Z148" s="43"/>
    </row>
    <row r="149" spans="25:26" ht="15.75" customHeight="1" x14ac:dyDescent="0.2">
      <c r="Y149" s="42"/>
      <c r="Z149" s="43"/>
    </row>
    <row r="150" spans="25:26" ht="15.75" customHeight="1" x14ac:dyDescent="0.2">
      <c r="Y150" s="42"/>
      <c r="Z150" s="43"/>
    </row>
    <row r="151" spans="25:26" ht="15.75" customHeight="1" x14ac:dyDescent="0.2">
      <c r="Y151" s="42"/>
      <c r="Z151" s="43"/>
    </row>
    <row r="152" spans="25:26" ht="15.75" customHeight="1" x14ac:dyDescent="0.2">
      <c r="Y152" s="42"/>
      <c r="Z152" s="43"/>
    </row>
    <row r="153" spans="25:26" ht="15.75" customHeight="1" x14ac:dyDescent="0.2">
      <c r="Y153" s="42"/>
      <c r="Z153" s="43"/>
    </row>
    <row r="154" spans="25:26" ht="15.75" customHeight="1" x14ac:dyDescent="0.2">
      <c r="Y154" s="42"/>
      <c r="Z154" s="43"/>
    </row>
    <row r="155" spans="25:26" ht="15.75" customHeight="1" x14ac:dyDescent="0.2">
      <c r="Y155" s="42"/>
      <c r="Z155" s="43"/>
    </row>
    <row r="156" spans="25:26" ht="15.75" customHeight="1" x14ac:dyDescent="0.2">
      <c r="Y156" s="42"/>
      <c r="Z156" s="43"/>
    </row>
    <row r="157" spans="25:26" ht="15.75" customHeight="1" x14ac:dyDescent="0.2">
      <c r="Y157" s="42"/>
      <c r="Z157" s="43"/>
    </row>
    <row r="158" spans="25:26" ht="15.75" customHeight="1" x14ac:dyDescent="0.2">
      <c r="Y158" s="42"/>
      <c r="Z158" s="43"/>
    </row>
    <row r="159" spans="25:26" ht="15.75" customHeight="1" x14ac:dyDescent="0.2">
      <c r="Y159" s="42"/>
      <c r="Z159" s="43"/>
    </row>
    <row r="160" spans="25:26" ht="15.75" customHeight="1" x14ac:dyDescent="0.2">
      <c r="Y160" s="42"/>
      <c r="Z160" s="43"/>
    </row>
    <row r="161" spans="25:26" ht="15.75" customHeight="1" x14ac:dyDescent="0.2">
      <c r="Y161" s="42"/>
      <c r="Z161" s="43"/>
    </row>
    <row r="162" spans="25:26" ht="15.75" customHeight="1" x14ac:dyDescent="0.2">
      <c r="Y162" s="42"/>
      <c r="Z162" s="43"/>
    </row>
    <row r="163" spans="25:26" ht="15.75" customHeight="1" x14ac:dyDescent="0.2">
      <c r="Y163" s="42"/>
      <c r="Z163" s="43"/>
    </row>
    <row r="164" spans="25:26" ht="15.75" customHeight="1" x14ac:dyDescent="0.2">
      <c r="Y164" s="42"/>
      <c r="Z164" s="43"/>
    </row>
    <row r="165" spans="25:26" ht="15.75" customHeight="1" x14ac:dyDescent="0.2">
      <c r="Y165" s="42"/>
      <c r="Z165" s="43"/>
    </row>
    <row r="166" spans="25:26" ht="15.75" customHeight="1" x14ac:dyDescent="0.2">
      <c r="Y166" s="42"/>
      <c r="Z166" s="43"/>
    </row>
    <row r="167" spans="25:26" ht="15.75" customHeight="1" x14ac:dyDescent="0.2">
      <c r="Y167" s="42"/>
      <c r="Z167" s="43"/>
    </row>
    <row r="168" spans="25:26" ht="15.75" customHeight="1" x14ac:dyDescent="0.2">
      <c r="Y168" s="42"/>
      <c r="Z168" s="43"/>
    </row>
    <row r="169" spans="25:26" ht="15.75" customHeight="1" x14ac:dyDescent="0.2">
      <c r="Y169" s="42"/>
      <c r="Z169" s="43"/>
    </row>
    <row r="170" spans="25:26" ht="15.75" customHeight="1" x14ac:dyDescent="0.2">
      <c r="Y170" s="42"/>
      <c r="Z170" s="43"/>
    </row>
    <row r="171" spans="25:26" ht="15.75" customHeight="1" x14ac:dyDescent="0.2">
      <c r="Y171" s="42"/>
      <c r="Z171" s="43"/>
    </row>
    <row r="172" spans="25:26" ht="15.75" customHeight="1" x14ac:dyDescent="0.2">
      <c r="Y172" s="42"/>
      <c r="Z172" s="43"/>
    </row>
    <row r="173" spans="25:26" ht="15.75" customHeight="1" x14ac:dyDescent="0.2">
      <c r="Y173" s="42"/>
      <c r="Z173" s="43"/>
    </row>
    <row r="174" spans="25:26" ht="15.75" customHeight="1" x14ac:dyDescent="0.2">
      <c r="Y174" s="42"/>
      <c r="Z174" s="43"/>
    </row>
    <row r="175" spans="25:26" ht="15.75" customHeight="1" x14ac:dyDescent="0.2">
      <c r="Y175" s="42"/>
      <c r="Z175" s="43"/>
    </row>
    <row r="176" spans="25:26" ht="15.75" customHeight="1" x14ac:dyDescent="0.2">
      <c r="Y176" s="42"/>
      <c r="Z176" s="43"/>
    </row>
    <row r="177" spans="25:26" ht="15.75" customHeight="1" x14ac:dyDescent="0.2">
      <c r="Y177" s="42"/>
      <c r="Z177" s="43"/>
    </row>
    <row r="178" spans="25:26" ht="15.75" customHeight="1" x14ac:dyDescent="0.2">
      <c r="Y178" s="42"/>
      <c r="Z178" s="43"/>
    </row>
    <row r="179" spans="25:26" ht="15.75" customHeight="1" x14ac:dyDescent="0.2">
      <c r="Y179" s="42"/>
      <c r="Z179" s="43"/>
    </row>
    <row r="180" spans="25:26" ht="15.75" customHeight="1" x14ac:dyDescent="0.2">
      <c r="Y180" s="42"/>
      <c r="Z180" s="43"/>
    </row>
    <row r="181" spans="25:26" ht="15.75" customHeight="1" x14ac:dyDescent="0.2">
      <c r="Y181" s="42"/>
      <c r="Z181" s="43"/>
    </row>
    <row r="182" spans="25:26" ht="15.75" customHeight="1" x14ac:dyDescent="0.2">
      <c r="Y182" s="42"/>
      <c r="Z182" s="43"/>
    </row>
    <row r="183" spans="25:26" ht="15.75" customHeight="1" x14ac:dyDescent="0.2">
      <c r="Y183" s="42"/>
      <c r="Z183" s="43"/>
    </row>
    <row r="184" spans="25:26" ht="15.75" customHeight="1" x14ac:dyDescent="0.2">
      <c r="Y184" s="42"/>
      <c r="Z184" s="43"/>
    </row>
    <row r="185" spans="25:26" ht="15.75" customHeight="1" x14ac:dyDescent="0.2">
      <c r="Y185" s="42"/>
      <c r="Z185" s="43"/>
    </row>
    <row r="186" spans="25:26" ht="15.75" customHeight="1" x14ac:dyDescent="0.2">
      <c r="Y186" s="42"/>
      <c r="Z186" s="43"/>
    </row>
    <row r="187" spans="25:26" ht="15.75" customHeight="1" x14ac:dyDescent="0.2">
      <c r="Y187" s="42"/>
      <c r="Z187" s="43"/>
    </row>
    <row r="188" spans="25:26" ht="15.75" customHeight="1" x14ac:dyDescent="0.2">
      <c r="Y188" s="42"/>
      <c r="Z188" s="43"/>
    </row>
    <row r="189" spans="25:26" ht="15.75" customHeight="1" x14ac:dyDescent="0.2">
      <c r="Y189" s="42"/>
      <c r="Z189" s="43"/>
    </row>
    <row r="190" spans="25:26" ht="15.75" customHeight="1" x14ac:dyDescent="0.2">
      <c r="Y190" s="42"/>
      <c r="Z190" s="43"/>
    </row>
    <row r="191" spans="25:26" ht="15.75" customHeight="1" x14ac:dyDescent="0.2">
      <c r="Y191" s="42"/>
      <c r="Z191" s="43"/>
    </row>
    <row r="192" spans="25:26" ht="15.75" customHeight="1" x14ac:dyDescent="0.2">
      <c r="Y192" s="42"/>
      <c r="Z192" s="43"/>
    </row>
    <row r="193" spans="25:26" ht="15.75" customHeight="1" x14ac:dyDescent="0.2">
      <c r="Y193" s="42"/>
      <c r="Z193" s="43"/>
    </row>
    <row r="194" spans="25:26" ht="15.75" customHeight="1" x14ac:dyDescent="0.2">
      <c r="Y194" s="42"/>
      <c r="Z194" s="43"/>
    </row>
    <row r="195" spans="25:26" ht="15.75" customHeight="1" x14ac:dyDescent="0.2">
      <c r="Y195" s="42"/>
      <c r="Z195" s="43"/>
    </row>
    <row r="196" spans="25:26" ht="15.75" customHeight="1" x14ac:dyDescent="0.2">
      <c r="Y196" s="42"/>
      <c r="Z196" s="43"/>
    </row>
    <row r="197" spans="25:26" ht="15.75" customHeight="1" x14ac:dyDescent="0.2">
      <c r="Y197" s="42"/>
      <c r="Z197" s="43"/>
    </row>
    <row r="198" spans="25:26" ht="15.75" customHeight="1" x14ac:dyDescent="0.2">
      <c r="Y198" s="42"/>
      <c r="Z198" s="43"/>
    </row>
    <row r="199" spans="25:26" ht="15.75" customHeight="1" x14ac:dyDescent="0.2">
      <c r="Y199" s="42"/>
      <c r="Z199" s="43"/>
    </row>
    <row r="200" spans="25:26" ht="15.75" customHeight="1" x14ac:dyDescent="0.2">
      <c r="Y200" s="42"/>
      <c r="Z200" s="43"/>
    </row>
    <row r="201" spans="25:26" ht="15.75" customHeight="1" x14ac:dyDescent="0.2">
      <c r="Y201" s="42"/>
      <c r="Z201" s="43"/>
    </row>
    <row r="202" spans="25:26" ht="15.75" customHeight="1" x14ac:dyDescent="0.2">
      <c r="Y202" s="42"/>
      <c r="Z202" s="43"/>
    </row>
    <row r="203" spans="25:26" ht="15.75" customHeight="1" x14ac:dyDescent="0.2">
      <c r="Y203" s="42"/>
      <c r="Z203" s="43"/>
    </row>
    <row r="204" spans="25:26" ht="15.75" customHeight="1" x14ac:dyDescent="0.2">
      <c r="Y204" s="42"/>
      <c r="Z204" s="43"/>
    </row>
    <row r="205" spans="25:26" ht="15.75" customHeight="1" x14ac:dyDescent="0.2">
      <c r="Y205" s="42"/>
      <c r="Z205" s="43"/>
    </row>
    <row r="206" spans="25:26" ht="15.75" customHeight="1" x14ac:dyDescent="0.2">
      <c r="Y206" s="42"/>
      <c r="Z206" s="43"/>
    </row>
    <row r="207" spans="25:26" ht="15.75" customHeight="1" x14ac:dyDescent="0.2">
      <c r="Y207" s="42"/>
      <c r="Z207" s="43"/>
    </row>
    <row r="208" spans="25:26" ht="15.75" customHeight="1" x14ac:dyDescent="0.2">
      <c r="Y208" s="42"/>
      <c r="Z208" s="43"/>
    </row>
    <row r="209" spans="25:26" ht="15.75" customHeight="1" x14ac:dyDescent="0.2">
      <c r="Y209" s="42"/>
      <c r="Z209" s="43"/>
    </row>
    <row r="210" spans="25:26" ht="15.75" customHeight="1" x14ac:dyDescent="0.2">
      <c r="Y210" s="42"/>
      <c r="Z210" s="43"/>
    </row>
    <row r="211" spans="25:26" ht="15.75" customHeight="1" x14ac:dyDescent="0.2">
      <c r="Y211" s="42"/>
      <c r="Z211" s="43"/>
    </row>
    <row r="212" spans="25:26" ht="15.75" customHeight="1" x14ac:dyDescent="0.2">
      <c r="Y212" s="42"/>
      <c r="Z212" s="43"/>
    </row>
    <row r="213" spans="25:26" ht="15.75" customHeight="1" x14ac:dyDescent="0.2">
      <c r="Y213" s="42"/>
      <c r="Z213" s="43"/>
    </row>
    <row r="214" spans="25:26" ht="15.75" customHeight="1" x14ac:dyDescent="0.2">
      <c r="Y214" s="42"/>
      <c r="Z214" s="43"/>
    </row>
    <row r="215" spans="25:26" ht="15.75" customHeight="1" x14ac:dyDescent="0.2">
      <c r="Y215" s="42"/>
      <c r="Z215" s="43"/>
    </row>
    <row r="216" spans="25:26" ht="15.75" customHeight="1" x14ac:dyDescent="0.2">
      <c r="Y216" s="42"/>
      <c r="Z216" s="43"/>
    </row>
    <row r="217" spans="25:26" ht="15.75" customHeight="1" x14ac:dyDescent="0.2">
      <c r="Y217" s="42"/>
      <c r="Z217" s="43"/>
    </row>
    <row r="218" spans="25:26" ht="15.75" customHeight="1" x14ac:dyDescent="0.2">
      <c r="Y218" s="42"/>
      <c r="Z218" s="43"/>
    </row>
    <row r="219" spans="25:26" ht="15.75" customHeight="1" x14ac:dyDescent="0.2">
      <c r="Y219" s="42"/>
      <c r="Z219" s="43"/>
    </row>
    <row r="220" spans="25:26" ht="15.75" customHeight="1" x14ac:dyDescent="0.2">
      <c r="Y220" s="42"/>
      <c r="Z220" s="43"/>
    </row>
    <row r="221" spans="25:26" ht="15.75" customHeight="1" x14ac:dyDescent="0.2"/>
    <row r="222" spans="25:26" ht="15.75" customHeight="1" x14ac:dyDescent="0.2"/>
    <row r="223" spans="25:26" ht="15.75" customHeight="1" x14ac:dyDescent="0.2"/>
    <row r="224" spans="25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8:Z18"/>
    <mergeCell ref="Y15:Y16"/>
    <mergeCell ref="Z15:Z16"/>
    <mergeCell ref="A15:B15"/>
    <mergeCell ref="F15:M15"/>
    <mergeCell ref="O15:R15"/>
    <mergeCell ref="S15:T15"/>
    <mergeCell ref="V15:X15"/>
  </mergeCells>
  <hyperlinks>
    <hyperlink ref="A17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Anh Dao</cp:lastModifiedBy>
  <dcterms:modified xsi:type="dcterms:W3CDTF">2025-12-17T10:05:57Z</dcterms:modified>
</cp:coreProperties>
</file>